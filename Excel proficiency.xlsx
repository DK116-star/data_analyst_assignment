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002\Downloads\"/>
    </mc:Choice>
  </mc:AlternateContent>
  <xr:revisionPtr revIDLastSave="0" documentId="8_{E27FE8C3-F230-41E8-9C14-262A8DC3EF58}" xr6:coauthVersionLast="47" xr6:coauthVersionMax="47" xr10:uidLastSave="{00000000-0000-0000-0000-000000000000}"/>
  <bookViews>
    <workbookView xWindow="-110" yWindow="-110" windowWidth="19420" windowHeight="11020" xr2:uid="{5082D0E7-E535-42E1-A3AC-642240BECEFD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I2" i="1" s="1"/>
  <c r="G3" i="1"/>
  <c r="I3" i="1" s="1"/>
  <c r="G4" i="1"/>
  <c r="F2" i="1"/>
  <c r="F3" i="1"/>
  <c r="H3" i="1" s="1"/>
  <c r="F4" i="1"/>
  <c r="D2" i="2"/>
  <c r="D3" i="2"/>
  <c r="D4" i="2"/>
  <c r="H2" i="1" l="1"/>
  <c r="H4" i="1"/>
  <c r="I4" i="1"/>
</calcChain>
</file>

<file path=xl/sharedStrings.xml><?xml version="1.0" encoding="utf-8"?>
<sst xmlns="http://schemas.openxmlformats.org/spreadsheetml/2006/main" count="25" uniqueCount="20">
  <si>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</si>
  <si>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</si>
  <si>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</si>
  <si>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</si>
  <si>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</si>
  <si>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</si>
  <si>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</si>
  <si>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</si>
  <si>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</si>
  <si>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</si>
  <si>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abc-123-xyz</t>
  </si>
  <si>
    <t>asd-wer-111</t>
  </si>
  <si>
    <t>def-456-uvw</t>
  </si>
  <si>
    <t>feedback_at</t>
  </si>
  <si>
    <t>feedback_rating</t>
  </si>
  <si>
    <t>ticket_created_at</t>
  </si>
  <si>
    <t>Same Day</t>
  </si>
  <si>
    <t>Same Hour</t>
  </si>
  <si>
    <t>Same day count</t>
  </si>
  <si>
    <t>Same hour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</si>
</sst>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17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7" formatCode="dd/mm/yyyy\ h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7" formatCode="dd/mm/yyyy\ hh:mm"/>
      <alignment horizontal="general" vertical="center" textRotation="0" wrapText="1" indent="0" justifyLastLine="0" shrinkToFit="0" readingOrder="0"/>
    </dxf>
    <dxf>
      <numFmt numFmtId="27" formatCode="dd/mm/yyyy\ h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07E6CE-A66D-4790-9DAA-00884E591745}" name="Table2" displayName="Table2" ref="A1:I4" totalsRowShown="0" headerRowDxfId="10" dataDxfId="11">
  <autoFilter ref="A1:I4" xr:uid="{3307E6CE-A66D-4790-9DAA-00884E591745}"/>
  <tableColumns count="9">
    <tableColumn id="1" xr3:uid="{DFB1AF62-DCB7-470A-AB06-4E92B4B57F0A}" name="ticket_id" dataDxfId="16"/>
    <tableColumn id="2" xr3:uid="{595DAB22-8178-4B09-8E55-E373BFD2F5D6}" name="created_at" dataDxfId="15"/>
    <tableColumn id="3" xr3:uid="{BA75200A-8887-4BFE-AEBA-C74B30A450C5}" name="closed_at" dataDxfId="14"/>
    <tableColumn id="4" xr3:uid="{1E56B05F-3B30-4D7F-BD44-F7AE23E56A7B}" name="outlet_id" dataDxfId="13"/>
    <tableColumn id="5" xr3:uid="{048D3317-29E8-49D5-9716-951840986827}" name="cms_id" dataDxfId="12"/>
    <tableColumn id="6" xr3:uid="{9DE70D8E-3681-41F0-9DA2-644B8EEBE68E}" name="Same Day" dataDxfId="3">
      <calculatedColumnFormula>IF(INT(B2)=INT(C2),"Yes","No")</calculatedColumnFormula>
    </tableColumn>
    <tableColumn id="7" xr3:uid="{E3D00F94-7106-45CA-B54D-7B4F9412E7C0}" name="Same Hour" dataDxfId="2">
      <calculatedColumnFormula>IF(AND(INT(B2)=INT(C2),HOUR(B2)=HOUR(C2)),"Yes","No")</calculatedColumnFormula>
    </tableColumn>
    <tableColumn id="8" xr3:uid="{EEA6C5B2-32D6-490F-9ACF-E15AB2D52F88}" name="Same day count" dataDxfId="1">
      <calculatedColumnFormula>COUNTIFS(D:D,D2,F:F,"Yes")</calculatedColumnFormula>
    </tableColumn>
    <tableColumn id="9" xr3:uid="{412D45A3-CFD4-44E5-8655-AAFFE0B416E8}" name="Same hour count" dataDxfId="0">
      <calculatedColumnFormula>COUNTIFS(D:D,D2,G:G,"Yes")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AB733A-6CBB-40B8-9FFD-F9FAEF8EDD35}" name="Table3" displayName="Table3" ref="A1:D4" totalsRowShown="0" headerRowDxfId="5" dataDxfId="6">
  <autoFilter ref="A1:D4" xr:uid="{4AAB733A-6CBB-40B8-9FFD-F9FAEF8EDD35}"/>
  <tableColumns count="4">
    <tableColumn id="1" xr3:uid="{DE9599D4-17D1-411A-A313-FE06780872B8}" name="cms_id" dataDxfId="9"/>
    <tableColumn id="2" xr3:uid="{0F234609-8323-48A5-A236-9AA043E9E888}" name="feedback_at" dataDxfId="8"/>
    <tableColumn id="3" xr3:uid="{C46065FD-C686-4042-9D93-C44EF22720B7}" name="feedback_rating" dataDxfId="7"/>
    <tableColumn id="4" xr3:uid="{55AA7C8F-D0F2-4CCD-A749-B66D420EEFBD}" name="ticket_created_at" dataDxfId="4">
      <calculatedColumnFormula>INDEX(Ticket!B:B,MATCH(A2,Ticket!E:E,0))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71DF-6ADD-4284-BD8E-1DD675DC9928}">
  <dimension ref="A1:I4"/>
  <sheetViews>
    <sheetView tabSelected="1" topLeftCell="C1" workbookViewId="0">
      <selection activeCell="I2" sqref="I2"/>
    </sheetView>
  </sheetViews>
  <sheetFormatPr defaultRowHeight="14.5" x14ac:dyDescent="0.35"/>
  <cols>
    <col min="1" max="1" width="24.1796875" customWidth="1"/>
    <col min="2" max="2" width="21" customWidth="1"/>
    <col min="3" max="3" width="17.453125" customWidth="1"/>
    <col min="4" max="4" width="31" customWidth="1"/>
    <col min="5" max="5" width="21" customWidth="1"/>
    <col min="6" max="6" width="15.54296875" customWidth="1"/>
    <col min="7" max="7" width="17.08984375" customWidth="1"/>
    <col min="8" max="8" width="14.90625" customWidth="1"/>
    <col min="9" max="9" width="18.90625" customWidth="1"/>
  </cols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35">
      <c r="A2" s="2" t="s">
        <v>5</v>
      </c>
      <c r="B2" s="3">
        <v>44427.698414351849</v>
      </c>
      <c r="C2" s="3">
        <v>44430.523287037038</v>
      </c>
      <c r="D2" s="2" t="s">
        <v>6</v>
      </c>
      <c r="E2" s="2" t="s">
        <v>7</v>
      </c>
      <c r="F2" s="2" t="str">
        <f t="shared" ref="F2:F4" si="0">IF(INT(B2)=INT(C2),"Yes","No")</f>
        <v>No</v>
      </c>
      <c r="G2" s="2" t="str">
        <f t="shared" ref="G2:G4" si="1">IF(AND(INT(B2)=INT(C2),HOUR(B2)=HOUR(C2)),"Yes","No")</f>
        <v>No</v>
      </c>
      <c r="H2" s="2">
        <f t="shared" ref="H2:H4" si="2">COUNTIFS(D:D,D2,F:F,"Yes")</f>
        <v>1</v>
      </c>
      <c r="I2" s="5">
        <f t="shared" ref="I2:I4" si="3">COUNTIFS(D:D,D2,G:G,"Yes")</f>
        <v>1</v>
      </c>
    </row>
    <row r="3" spans="1:9" x14ac:dyDescent="0.35">
      <c r="A3" s="2" t="s">
        <v>8</v>
      </c>
      <c r="B3" s="3">
        <v>44429.464837962965</v>
      </c>
      <c r="C3" s="3">
        <v>44429.717881944445</v>
      </c>
      <c r="D3" s="2" t="s">
        <v>9</v>
      </c>
      <c r="E3" s="2" t="s">
        <v>10</v>
      </c>
      <c r="F3" s="2" t="str">
        <f t="shared" si="0"/>
        <v>Yes</v>
      </c>
      <c r="G3" s="2" t="str">
        <f t="shared" si="1"/>
        <v>No</v>
      </c>
      <c r="H3" s="2">
        <f t="shared" si="2"/>
        <v>1</v>
      </c>
      <c r="I3" s="5">
        <f t="shared" si="3"/>
        <v>0</v>
      </c>
    </row>
    <row r="4" spans="1:9" x14ac:dyDescent="0.35">
      <c r="A4" s="2" t="s">
        <v>11</v>
      </c>
      <c r="B4" s="3">
        <v>44429.416666666664</v>
      </c>
      <c r="C4" s="3">
        <v>44429.4375</v>
      </c>
      <c r="D4" s="2" t="s">
        <v>6</v>
      </c>
      <c r="E4" s="2" t="s">
        <v>12</v>
      </c>
      <c r="F4" s="2" t="str">
        <f t="shared" si="0"/>
        <v>Yes</v>
      </c>
      <c r="G4" s="2" t="str">
        <f t="shared" si="1"/>
        <v>Yes</v>
      </c>
      <c r="H4" s="2">
        <f t="shared" si="2"/>
        <v>1</v>
      </c>
      <c r="I4" s="5">
        <f t="shared" si="3"/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77D9-D4AA-4DCD-A34E-E2CD0D17EA0C}">
  <dimension ref="A1:D4"/>
  <sheetViews>
    <sheetView workbookViewId="0">
      <selection activeCell="D2" sqref="D2"/>
    </sheetView>
  </sheetViews>
  <sheetFormatPr defaultRowHeight="14.5" x14ac:dyDescent="0.35"/>
  <cols>
    <col min="1" max="1" width="21.453125" customWidth="1"/>
    <col min="2" max="2" width="27.90625" customWidth="1"/>
    <col min="3" max="3" width="21.90625" customWidth="1"/>
    <col min="4" max="4" width="36.90625" customWidth="1"/>
  </cols>
  <sheetData>
    <row r="1" spans="1:4" ht="29" x14ac:dyDescent="0.35">
      <c r="A1" s="1" t="s">
        <v>4</v>
      </c>
      <c r="B1" s="1" t="s">
        <v>13</v>
      </c>
      <c r="C1" s="1" t="s">
        <v>14</v>
      </c>
      <c r="D1" s="1" t="s">
        <v>15</v>
      </c>
    </row>
    <row r="2" spans="1:4" x14ac:dyDescent="0.35">
      <c r="A2" s="2" t="s">
        <v>7</v>
      </c>
      <c r="B2" s="3">
        <v>44429.560277777775</v>
      </c>
      <c r="C2" s="2">
        <v>3</v>
      </c>
      <c r="D2" s="4">
        <f>INDEX(Ticket!B:B,MATCH(A2,Ticket!E:E,0))</f>
        <v>44427.698414351849</v>
      </c>
    </row>
    <row r="3" spans="1:4" x14ac:dyDescent="0.35">
      <c r="A3" s="2" t="s">
        <v>10</v>
      </c>
      <c r="B3" s="3">
        <v>44429.75</v>
      </c>
      <c r="C3" s="2">
        <v>4</v>
      </c>
      <c r="D3" s="4">
        <f>INDEX(Ticket!B:B,MATCH(A3,Ticket!E:E,0))</f>
        <v>44429.464837962965</v>
      </c>
    </row>
    <row r="4" spans="1:4" x14ac:dyDescent="0.35">
      <c r="A4" s="2" t="s">
        <v>12</v>
      </c>
      <c r="B4" s="3">
        <v>44429.458333333336</v>
      </c>
      <c r="C4" s="2">
        <v>5</v>
      </c>
      <c r="D4" s="4">
        <f>INDEX(Ticket!B:B,MATCH(A4,Ticket!E:E,0))</f>
        <v>44429.416666666664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 KUMAR</dc:creator>
  <cp:lastModifiedBy>DILEEP KUMAR</cp:lastModifiedBy>
  <dcterms:created xsi:type="dcterms:W3CDTF">2026-04-08T17:49:44Z</dcterms:created>
  <dcterms:modified xsi:type="dcterms:W3CDTF">2026-04-09T05:10:38Z</dcterms:modified>
</cp:coreProperties>
</file>